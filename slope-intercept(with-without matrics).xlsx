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<sst xmlns="http://schemas.openxmlformats.org/spreadsheetml/2006/main" count="17" uniqueCount="17">
  <si>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r>
      <rPr>
        <rFont val="Arial"/>
        <color theme="1"/>
      </rPr>
      <t xml:space="preserve"> </t>
    </r>
    <r>
      <rPr>
        <rFont val="Arial"/>
        <b/>
        <color theme="1"/>
      </rPr>
      <t>x</t>
    </r>
  </si>
  <si>
    <t xml:space="preserve">  y</t>
  </si>
  <si>
    <t>Matrix A</t>
  </si>
  <si>
    <t xml:space="preserve">     Matrix b</t>
  </si>
  <si>
    <t>m</t>
  </si>
  <si>
    <t>c</t>
  </si>
  <si>
    <r>
      <rPr>
        <rFont val="Arial"/>
        <color theme="1"/>
      </rPr>
      <t xml:space="preserve"> </t>
    </r>
    <r>
      <rPr>
        <rFont val="Arial"/>
        <b/>
        <color theme="1"/>
      </rPr>
      <t>Matrix y</t>
    </r>
  </si>
  <si>
    <t xml:space="preserve">Slope              </t>
  </si>
  <si>
    <t>Intercept</t>
  </si>
  <si>
    <t>Correlation</t>
  </si>
  <si>
    <t>Transpose of matrix A = (Aᵀ)</t>
  </si>
  <si>
    <t xml:space="preserve">                      Aᵀ · A</t>
  </si>
  <si>
    <t xml:space="preserve">Aᵀ · y </t>
  </si>
  <si>
    <t xml:space="preserve">    Inverse of  (Aᵀ · A)</t>
  </si>
  <si>
    <t>(AᵀA)⁻¹ (Aᵀy)</t>
  </si>
  <si>
    <t>(slope)</t>
  </si>
  <si>
    <t>(Intercept)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</si>
</sst>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rgb="FF000000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2" fillId="2" fontId="4" numFmtId="0" xfId="0" applyAlignment="1" applyBorder="1" applyFont="1">
      <alignment horizontal="center" readingOrder="0" vertical="bottom"/>
    </xf>
    <xf borderId="3" fillId="0" fontId="5" numFmtId="0" xfId="0" applyBorder="1" applyFont="1"/>
    <xf borderId="0" fillId="2" fontId="6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2" fillId="2" fontId="2" numFmtId="0" xfId="0" applyAlignment="1" applyBorder="1" applyFont="1">
      <alignment horizontal="center" readingOrder="0"/>
    </xf>
    <xf borderId="4" fillId="0" fontId="5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0</v>
      </c>
      <c r="D2" s="2" t="s">
        <v>1</v>
      </c>
      <c r="F2" s="3"/>
      <c r="G2" s="4" t="s">
        <v>2</v>
      </c>
      <c r="H2" s="5"/>
      <c r="J2" s="3"/>
      <c r="K2" s="6" t="s">
        <v>3</v>
      </c>
      <c r="L2" s="3"/>
    </row>
    <row r="3">
      <c r="C3" s="7">
        <v>4.0</v>
      </c>
      <c r="D3" s="7">
        <v>16.0</v>
      </c>
      <c r="F3" s="3"/>
      <c r="G3" s="7">
        <v>4.0</v>
      </c>
      <c r="H3" s="7">
        <v>1.0</v>
      </c>
      <c r="J3" s="3"/>
      <c r="K3" s="7" t="s">
        <v>4</v>
      </c>
      <c r="L3" s="3"/>
    </row>
    <row r="4">
      <c r="C4" s="7">
        <v>3.0</v>
      </c>
      <c r="D4" s="7">
        <v>12.0</v>
      </c>
      <c r="F4" s="3"/>
      <c r="G4" s="7">
        <v>3.0</v>
      </c>
      <c r="H4" s="7">
        <v>1.0</v>
      </c>
      <c r="J4" s="3"/>
      <c r="K4" s="7" t="s">
        <v>5</v>
      </c>
      <c r="L4" s="3"/>
    </row>
    <row r="5">
      <c r="C5" s="7">
        <v>7.0</v>
      </c>
      <c r="D5" s="7">
        <v>20.0</v>
      </c>
      <c r="F5" s="3"/>
      <c r="G5" s="7">
        <v>7.0</v>
      </c>
      <c r="H5" s="7">
        <v>1.0</v>
      </c>
      <c r="J5" s="3"/>
      <c r="K5" s="3"/>
      <c r="L5" s="3"/>
    </row>
    <row r="6">
      <c r="C6" s="7">
        <v>2.0</v>
      </c>
      <c r="D6" s="7">
        <v>17.0</v>
      </c>
      <c r="F6" s="3"/>
      <c r="G6" s="7">
        <v>2.0</v>
      </c>
      <c r="H6" s="7">
        <v>1.0</v>
      </c>
      <c r="J6" s="3"/>
      <c r="K6" s="8" t="s">
        <v>6</v>
      </c>
      <c r="L6" s="3"/>
    </row>
    <row r="7">
      <c r="C7" s="7">
        <v>6.0</v>
      </c>
      <c r="D7" s="7">
        <v>18.0</v>
      </c>
      <c r="F7" s="3"/>
      <c r="G7" s="7">
        <v>6.0</v>
      </c>
      <c r="H7" s="7">
        <v>1.0</v>
      </c>
      <c r="J7" s="3"/>
      <c r="K7" s="7">
        <v>16.0</v>
      </c>
      <c r="L7" s="3"/>
    </row>
    <row r="8">
      <c r="C8" s="7">
        <v>8.0</v>
      </c>
      <c r="D8" s="7">
        <v>25.0</v>
      </c>
      <c r="F8" s="3"/>
      <c r="G8" s="7">
        <v>8.0</v>
      </c>
      <c r="H8" s="7">
        <v>1.0</v>
      </c>
      <c r="J8" s="3"/>
      <c r="K8" s="7">
        <v>12.0</v>
      </c>
      <c r="L8" s="3"/>
    </row>
    <row r="9">
      <c r="F9" s="3"/>
      <c r="G9" s="3"/>
      <c r="H9" s="3"/>
      <c r="J9" s="3"/>
      <c r="K9" s="7">
        <v>20.0</v>
      </c>
      <c r="L9" s="3"/>
    </row>
    <row r="10">
      <c r="F10" s="3"/>
      <c r="G10" s="3"/>
      <c r="H10" s="3"/>
      <c r="J10" s="3"/>
      <c r="K10" s="7">
        <v>17.0</v>
      </c>
      <c r="L10" s="3"/>
    </row>
    <row r="11">
      <c r="C11" s="9" t="s">
        <v>7</v>
      </c>
      <c r="D11" s="10">
        <f>SLOPE(D3:D8, C3:C8)
</f>
        <v>1.5</v>
      </c>
      <c r="F11" s="3"/>
      <c r="G11" s="3"/>
      <c r="H11" s="3"/>
      <c r="J11" s="3"/>
      <c r="K11" s="7">
        <v>18.0</v>
      </c>
      <c r="L11" s="3"/>
    </row>
    <row r="12">
      <c r="C12" s="9" t="s">
        <v>8</v>
      </c>
      <c r="D12" s="10">
        <f>INTERCEPT(D3:D8, C3:C8)</f>
        <v>10.5</v>
      </c>
      <c r="F12" s="3"/>
      <c r="G12" s="3"/>
      <c r="H12" s="3"/>
      <c r="J12" s="3"/>
      <c r="K12" s="7">
        <v>25.0</v>
      </c>
      <c r="L12" s="3"/>
    </row>
    <row r="13">
      <c r="C13" s="9" t="s">
        <v>9</v>
      </c>
      <c r="D13" s="10">
        <f>CORREL(D3:D8, C3:C8)</f>
        <v>0.8186652344</v>
      </c>
    </row>
    <row r="14">
      <c r="G14" s="11" t="s">
        <v>10</v>
      </c>
      <c r="H14" s="12"/>
      <c r="I14" s="12"/>
      <c r="J14" s="12"/>
      <c r="K14" s="12"/>
      <c r="L14" s="5"/>
    </row>
    <row r="15">
      <c r="G15" s="13">
        <f t="array" ref="G15:L16">TRANSPOSE(G3:H8)</f>
        <v>4</v>
      </c>
      <c r="H15" s="13">
        <v>3.0</v>
      </c>
      <c r="I15" s="13">
        <v>7.0</v>
      </c>
      <c r="J15" s="13">
        <v>2.0</v>
      </c>
      <c r="K15" s="13">
        <v>6.0</v>
      </c>
      <c r="L15" s="13">
        <v>8.0</v>
      </c>
    </row>
    <row r="16">
      <c r="G16" s="13">
        <v>1.0</v>
      </c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</row>
    <row r="18">
      <c r="C18" s="9"/>
    </row>
    <row r="19">
      <c r="G19" s="14" t="s">
        <v>11</v>
      </c>
      <c r="H19" s="5"/>
      <c r="J19" s="2" t="s">
        <v>12</v>
      </c>
    </row>
    <row r="20">
      <c r="G20" s="13">
        <f t="array" ref="G20:H21">MMULT( TRANSPOSE(G3:H8) , G3:H8 )
</f>
        <v>178</v>
      </c>
      <c r="H20" s="13">
        <v>30.0</v>
      </c>
      <c r="I20" s="15"/>
      <c r="J20" s="13">
        <f t="array" ref="J20:J21">MMULT( TRANSPOSE(G3:H8) , D3:D8 )
</f>
        <v>582</v>
      </c>
    </row>
    <row r="21">
      <c r="G21" s="13">
        <v>30.0</v>
      </c>
      <c r="H21" s="13">
        <v>6.0</v>
      </c>
      <c r="I21" s="15"/>
      <c r="J21" s="13">
        <v>108.0</v>
      </c>
    </row>
    <row r="24">
      <c r="G24" s="11" t="s">
        <v>13</v>
      </c>
      <c r="H24" s="5"/>
      <c r="J24" s="2" t="s">
        <v>14</v>
      </c>
    </row>
    <row r="25">
      <c r="G25" s="13">
        <f t="array" ref="G25:H26">MINVERSE(G20:H21)</f>
        <v>0.03571428571</v>
      </c>
      <c r="H25" s="13">
        <v>-0.17857142857142846</v>
      </c>
      <c r="J25" s="16">
        <f t="array" ref="J25:J26">MMULT(G25:H26, J20:J21)</f>
        <v>1.5</v>
      </c>
      <c r="K25" s="9" t="s">
        <v>15</v>
      </c>
    </row>
    <row r="26">
      <c r="G26" s="13">
        <v>-0.17857142857142846</v>
      </c>
      <c r="H26" s="13">
        <v>1.0595238095238089</v>
      </c>
      <c r="J26" s="13">
        <v>10.5</v>
      </c>
      <c r="K26" s="9" t="s">
        <v>16</v>
      </c>
    </row>
  </sheetData>
  <mergeCells count="4">
    <mergeCell ref="G2:H2"/>
    <mergeCell ref="G14:L14"/>
    <mergeCell ref="G19:H19"/>
    <mergeCell ref="G24:H24"/>
  </mergeCells>
  <drawing r:id="rId1"/>
</worksheet>
</file>